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26141ef62e9f76/Desktop/"/>
    </mc:Choice>
  </mc:AlternateContent>
  <xr:revisionPtr revIDLastSave="0" documentId="8_{B23FF458-583F-4BA9-A4BA-F7C1028B3E05}" xr6:coauthVersionLast="47" xr6:coauthVersionMax="47" xr10:uidLastSave="{00000000-0000-0000-0000-000000000000}"/>
  <bookViews>
    <workbookView xWindow="-108" yWindow="-108" windowWidth="23256" windowHeight="12456" xr2:uid="{CF2EF2A4-E99B-42E6-B885-74E6BDE630B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8" i="1" l="1"/>
  <c r="B57" i="1"/>
  <c r="B72" i="1"/>
  <c r="B71" i="1"/>
  <c r="B70" i="1"/>
  <c r="B69" i="1"/>
  <c r="B68" i="1"/>
  <c r="B67" i="1"/>
  <c r="B66" i="1"/>
  <c r="B65" i="1"/>
  <c r="B64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3" i="1"/>
  <c r="B55" i="1"/>
  <c r="B54" i="1"/>
</calcChain>
</file>

<file path=xl/sharedStrings.xml><?xml version="1.0" encoding="utf-8"?>
<sst xmlns="http://schemas.openxmlformats.org/spreadsheetml/2006/main" count="68" uniqueCount="67">
  <si>
    <t>Mean =</t>
  </si>
  <si>
    <t xml:space="preserve">N = </t>
  </si>
  <si>
    <t>Variance =</t>
  </si>
  <si>
    <t>Std Dev =</t>
  </si>
  <si>
    <t>(Xi-Xbar)</t>
  </si>
  <si>
    <t>(Xi-Xbar)2</t>
  </si>
  <si>
    <t>Company</t>
  </si>
  <si>
    <t>Employees</t>
  </si>
  <si>
    <t>AlphaTech</t>
  </si>
  <si>
    <t>Beta Solutions</t>
  </si>
  <si>
    <t>Gamma Innovations</t>
  </si>
  <si>
    <t>Delta Enterprises</t>
  </si>
  <si>
    <t>Epsilon Systems</t>
  </si>
  <si>
    <t>Zeta Corporation</t>
  </si>
  <si>
    <t>Eta Industries</t>
  </si>
  <si>
    <t>Theta Ventures</t>
  </si>
  <si>
    <t>Iota Group</t>
  </si>
  <si>
    <t>Kappa Enterprises</t>
  </si>
  <si>
    <t>Lambda Solutions</t>
  </si>
  <si>
    <t>Mu Technologies</t>
  </si>
  <si>
    <t>Nu Innovations</t>
  </si>
  <si>
    <t>Xi Corporation</t>
  </si>
  <si>
    <t>Omicron Enterprises</t>
  </si>
  <si>
    <t>Pi Ventures</t>
  </si>
  <si>
    <t>Rho Technologies</t>
  </si>
  <si>
    <t>Sigma Solutions</t>
  </si>
  <si>
    <t>Tau Group</t>
  </si>
  <si>
    <t>Upsilon Industries</t>
  </si>
  <si>
    <t>Phi Ventures</t>
  </si>
  <si>
    <t>Chi Corporation</t>
  </si>
  <si>
    <t>Psi Technologies</t>
  </si>
  <si>
    <t>Omega Solutions</t>
  </si>
  <si>
    <t>Fusion Enterprises</t>
  </si>
  <si>
    <t>Stellar Innovations</t>
  </si>
  <si>
    <t>Galaxy Systems</t>
  </si>
  <si>
    <t>Nebula Corporation</t>
  </si>
  <si>
    <t>Solar Ventures</t>
  </si>
  <si>
    <t>Lunar Technologies</t>
  </si>
  <si>
    <t>Cosmic Industries</t>
  </si>
  <si>
    <t>Asteroid Ventures</t>
  </si>
  <si>
    <t>Comet Corporation</t>
  </si>
  <si>
    <t>Meteor Solutions</t>
  </si>
  <si>
    <t>Saturn Enterprises</t>
  </si>
  <si>
    <t>Jupiter Technologies</t>
  </si>
  <si>
    <t>Venus Ventures</t>
  </si>
  <si>
    <t>Mars Corporation</t>
  </si>
  <si>
    <t>Mercury Innovations</t>
  </si>
  <si>
    <t>Neptune Systems</t>
  </si>
  <si>
    <t>Uranus Corporation</t>
  </si>
  <si>
    <t>Pluto Ventures</t>
  </si>
  <si>
    <t>Earth Technologies</t>
  </si>
  <si>
    <t>Sun Enterprises</t>
  </si>
  <si>
    <t>Moon Solutions</t>
  </si>
  <si>
    <t>Star Group</t>
  </si>
  <si>
    <t>Sky Corporation</t>
  </si>
  <si>
    <t>Cloud Innovations</t>
  </si>
  <si>
    <t>Rain Solutions</t>
  </si>
  <si>
    <t>Lion Technologies</t>
  </si>
  <si>
    <t>Shortcuts:</t>
  </si>
  <si>
    <t>Min. =</t>
  </si>
  <si>
    <t>Max. =</t>
  </si>
  <si>
    <t>Mode =</t>
  </si>
  <si>
    <t>Median =</t>
  </si>
  <si>
    <t>Variance=</t>
  </si>
  <si>
    <t>Std Dev.=</t>
  </si>
  <si>
    <t>Skewness=</t>
  </si>
  <si>
    <t>Kurtosis=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</si>
</sst>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3AC3-D440-46FD-85F8-868EC6DF1729}">
  <dimension ref="A2:D72"/>
  <sheetViews>
    <sheetView tabSelected="1" workbookViewId="0">
      <selection activeCell="H13" sqref="H13"/>
    </sheetView>
  </sheetViews>
  <sheetFormatPr defaultRowHeight="14.4" x14ac:dyDescent="0.3"/>
  <sheetData>
    <row r="2" spans="1:4" x14ac:dyDescent="0.3">
      <c r="A2" t="s">
        <v>6</v>
      </c>
      <c r="B2" t="s">
        <v>7</v>
      </c>
      <c r="C2" t="s">
        <v>4</v>
      </c>
      <c r="D2" t="s">
        <v>5</v>
      </c>
    </row>
    <row r="3" spans="1:4" x14ac:dyDescent="0.3">
      <c r="A3" t="s">
        <v>8</v>
      </c>
      <c r="B3">
        <v>127</v>
      </c>
      <c r="C3">
        <f>B3-$B$54</f>
        <v>9.86</v>
      </c>
      <c r="D3">
        <f>C3^2</f>
        <v>97.219599999999986</v>
      </c>
    </row>
    <row r="4" spans="1:4" x14ac:dyDescent="0.3">
      <c r="A4" t="s">
        <v>9</v>
      </c>
      <c r="B4">
        <v>91</v>
      </c>
      <c r="C4">
        <f t="shared" ref="C4:C52" si="0">B4-$B$54</f>
        <v>-26.14</v>
      </c>
      <c r="D4">
        <f t="shared" ref="D4:D52" si="1">C4^2</f>
        <v>683.29960000000005</v>
      </c>
    </row>
    <row r="5" spans="1:4" x14ac:dyDescent="0.3">
      <c r="A5" t="s">
        <v>10</v>
      </c>
      <c r="B5">
        <v>155</v>
      </c>
      <c r="C5">
        <f t="shared" si="0"/>
        <v>37.86</v>
      </c>
      <c r="D5">
        <f t="shared" si="1"/>
        <v>1433.3796</v>
      </c>
    </row>
    <row r="6" spans="1:4" x14ac:dyDescent="0.3">
      <c r="A6" t="s">
        <v>11</v>
      </c>
      <c r="B6">
        <v>82</v>
      </c>
      <c r="C6">
        <f t="shared" si="0"/>
        <v>-35.14</v>
      </c>
      <c r="D6">
        <f t="shared" si="1"/>
        <v>1234.8196</v>
      </c>
    </row>
    <row r="7" spans="1:4" x14ac:dyDescent="0.3">
      <c r="A7" t="s">
        <v>12</v>
      </c>
      <c r="B7">
        <v>109</v>
      </c>
      <c r="C7">
        <f t="shared" si="0"/>
        <v>-8.14</v>
      </c>
      <c r="D7">
        <f t="shared" si="1"/>
        <v>66.259600000000006</v>
      </c>
    </row>
    <row r="8" spans="1:4" x14ac:dyDescent="0.3">
      <c r="A8" t="s">
        <v>13</v>
      </c>
      <c r="B8">
        <v>203</v>
      </c>
      <c r="C8">
        <f t="shared" si="0"/>
        <v>85.86</v>
      </c>
      <c r="D8">
        <f t="shared" si="1"/>
        <v>7371.9395999999997</v>
      </c>
    </row>
    <row r="9" spans="1:4" x14ac:dyDescent="0.3">
      <c r="A9" t="s">
        <v>14</v>
      </c>
      <c r="B9">
        <v>68</v>
      </c>
      <c r="C9">
        <f t="shared" si="0"/>
        <v>-49.14</v>
      </c>
      <c r="D9">
        <f t="shared" si="1"/>
        <v>2414.7395999999999</v>
      </c>
    </row>
    <row r="10" spans="1:4" x14ac:dyDescent="0.3">
      <c r="A10" t="s">
        <v>15</v>
      </c>
      <c r="B10">
        <v>142</v>
      </c>
      <c r="C10">
        <f t="shared" si="0"/>
        <v>24.86</v>
      </c>
      <c r="D10">
        <f t="shared" si="1"/>
        <v>618.01959999999997</v>
      </c>
    </row>
    <row r="11" spans="1:4" x14ac:dyDescent="0.3">
      <c r="A11" t="s">
        <v>16</v>
      </c>
      <c r="B11">
        <v>97</v>
      </c>
      <c r="C11">
        <f t="shared" si="0"/>
        <v>-20.14</v>
      </c>
      <c r="D11">
        <f t="shared" si="1"/>
        <v>405.61960000000005</v>
      </c>
    </row>
    <row r="12" spans="1:4" x14ac:dyDescent="0.3">
      <c r="A12" t="s">
        <v>17</v>
      </c>
      <c r="B12">
        <v>121</v>
      </c>
      <c r="C12">
        <f t="shared" si="0"/>
        <v>3.8599999999999994</v>
      </c>
      <c r="D12">
        <f t="shared" si="1"/>
        <v>14.899599999999996</v>
      </c>
    </row>
    <row r="13" spans="1:4" x14ac:dyDescent="0.3">
      <c r="A13" t="s">
        <v>18</v>
      </c>
      <c r="B13">
        <v>87</v>
      </c>
      <c r="C13">
        <f t="shared" si="0"/>
        <v>-30.14</v>
      </c>
      <c r="D13">
        <f t="shared" si="1"/>
        <v>908.41960000000006</v>
      </c>
    </row>
    <row r="14" spans="1:4" x14ac:dyDescent="0.3">
      <c r="A14" t="s">
        <v>19</v>
      </c>
      <c r="B14">
        <v>108</v>
      </c>
      <c r="C14">
        <f t="shared" si="0"/>
        <v>-9.14</v>
      </c>
      <c r="D14">
        <f t="shared" si="1"/>
        <v>83.539600000000007</v>
      </c>
    </row>
    <row r="15" spans="1:4" x14ac:dyDescent="0.3">
      <c r="A15" t="s">
        <v>20</v>
      </c>
      <c r="B15">
        <v>166</v>
      </c>
      <c r="C15">
        <f t="shared" si="0"/>
        <v>48.86</v>
      </c>
      <c r="D15">
        <f t="shared" si="1"/>
        <v>2387.2995999999998</v>
      </c>
    </row>
    <row r="16" spans="1:4" x14ac:dyDescent="0.3">
      <c r="A16" t="s">
        <v>21</v>
      </c>
      <c r="B16">
        <v>77</v>
      </c>
      <c r="C16">
        <f t="shared" si="0"/>
        <v>-40.14</v>
      </c>
      <c r="D16">
        <f t="shared" si="1"/>
        <v>1611.2196000000001</v>
      </c>
    </row>
    <row r="17" spans="1:4" x14ac:dyDescent="0.3">
      <c r="A17" t="s">
        <v>22</v>
      </c>
      <c r="B17">
        <v>101</v>
      </c>
      <c r="C17">
        <f t="shared" si="0"/>
        <v>-16.14</v>
      </c>
      <c r="D17">
        <f t="shared" si="1"/>
        <v>260.49960000000004</v>
      </c>
    </row>
    <row r="18" spans="1:4" x14ac:dyDescent="0.3">
      <c r="A18" t="s">
        <v>23</v>
      </c>
      <c r="B18">
        <v>145</v>
      </c>
      <c r="C18">
        <f t="shared" si="0"/>
        <v>27.86</v>
      </c>
      <c r="D18">
        <f t="shared" si="1"/>
        <v>776.17959999999994</v>
      </c>
    </row>
    <row r="19" spans="1:4" x14ac:dyDescent="0.3">
      <c r="A19" t="s">
        <v>24</v>
      </c>
      <c r="B19">
        <v>178</v>
      </c>
      <c r="C19">
        <f t="shared" si="0"/>
        <v>60.86</v>
      </c>
      <c r="D19">
        <f t="shared" si="1"/>
        <v>3703.9396000000002</v>
      </c>
    </row>
    <row r="20" spans="1:4" x14ac:dyDescent="0.3">
      <c r="A20" t="s">
        <v>25</v>
      </c>
      <c r="B20">
        <v>63</v>
      </c>
      <c r="C20">
        <f t="shared" si="0"/>
        <v>-54.14</v>
      </c>
      <c r="D20">
        <f t="shared" si="1"/>
        <v>2931.1396</v>
      </c>
    </row>
    <row r="21" spans="1:4" x14ac:dyDescent="0.3">
      <c r="A21" t="s">
        <v>26</v>
      </c>
      <c r="B21">
        <v>137</v>
      </c>
      <c r="C21">
        <f t="shared" si="0"/>
        <v>19.86</v>
      </c>
      <c r="D21">
        <f t="shared" si="1"/>
        <v>394.4196</v>
      </c>
    </row>
    <row r="22" spans="1:4" x14ac:dyDescent="0.3">
      <c r="A22" t="s">
        <v>27</v>
      </c>
      <c r="B22">
        <v>118</v>
      </c>
      <c r="C22">
        <f t="shared" si="0"/>
        <v>0.85999999999999943</v>
      </c>
      <c r="D22">
        <f t="shared" si="1"/>
        <v>0.73959999999999904</v>
      </c>
    </row>
    <row r="23" spans="1:4" x14ac:dyDescent="0.3">
      <c r="A23" t="s">
        <v>28</v>
      </c>
      <c r="B23">
        <v>92</v>
      </c>
      <c r="C23">
        <f t="shared" si="0"/>
        <v>-25.14</v>
      </c>
      <c r="D23">
        <f t="shared" si="1"/>
        <v>632.01960000000008</v>
      </c>
    </row>
    <row r="24" spans="1:4" x14ac:dyDescent="0.3">
      <c r="A24" t="s">
        <v>29</v>
      </c>
      <c r="B24">
        <v>174</v>
      </c>
      <c r="C24">
        <f t="shared" si="0"/>
        <v>56.86</v>
      </c>
      <c r="D24">
        <f t="shared" si="1"/>
        <v>3233.0596</v>
      </c>
    </row>
    <row r="25" spans="1:4" x14ac:dyDescent="0.3">
      <c r="A25" t="s">
        <v>30</v>
      </c>
      <c r="B25">
        <v>72</v>
      </c>
      <c r="C25">
        <f t="shared" si="0"/>
        <v>-45.14</v>
      </c>
      <c r="D25">
        <f t="shared" si="1"/>
        <v>2037.6196</v>
      </c>
    </row>
    <row r="26" spans="1:4" x14ac:dyDescent="0.3">
      <c r="A26" t="s">
        <v>31</v>
      </c>
      <c r="B26">
        <v>113</v>
      </c>
      <c r="C26">
        <f t="shared" si="0"/>
        <v>-4.1400000000000006</v>
      </c>
      <c r="D26">
        <f t="shared" si="1"/>
        <v>17.139600000000005</v>
      </c>
    </row>
    <row r="27" spans="1:4" x14ac:dyDescent="0.3">
      <c r="A27" t="s">
        <v>32</v>
      </c>
      <c r="B27">
        <v>86</v>
      </c>
      <c r="C27">
        <f t="shared" si="0"/>
        <v>-31.14</v>
      </c>
      <c r="D27">
        <f t="shared" si="1"/>
        <v>969.69960000000003</v>
      </c>
    </row>
    <row r="28" spans="1:4" x14ac:dyDescent="0.3">
      <c r="A28" t="s">
        <v>33</v>
      </c>
      <c r="B28">
        <v>159</v>
      </c>
      <c r="C28">
        <f t="shared" si="0"/>
        <v>41.86</v>
      </c>
      <c r="D28">
        <f t="shared" si="1"/>
        <v>1752.2595999999999</v>
      </c>
    </row>
    <row r="29" spans="1:4" x14ac:dyDescent="0.3">
      <c r="A29" t="s">
        <v>34</v>
      </c>
      <c r="B29">
        <v>123</v>
      </c>
      <c r="C29">
        <f t="shared" si="0"/>
        <v>5.8599999999999994</v>
      </c>
      <c r="D29">
        <f t="shared" si="1"/>
        <v>34.33959999999999</v>
      </c>
    </row>
    <row r="30" spans="1:4" x14ac:dyDescent="0.3">
      <c r="A30" t="s">
        <v>35</v>
      </c>
      <c r="B30">
        <v>97</v>
      </c>
      <c r="C30">
        <f t="shared" si="0"/>
        <v>-20.14</v>
      </c>
      <c r="D30">
        <f t="shared" si="1"/>
        <v>405.61960000000005</v>
      </c>
    </row>
    <row r="31" spans="1:4" x14ac:dyDescent="0.3">
      <c r="A31" t="s">
        <v>36</v>
      </c>
      <c r="B31">
        <v>133</v>
      </c>
      <c r="C31">
        <f t="shared" si="0"/>
        <v>15.86</v>
      </c>
      <c r="D31">
        <f t="shared" si="1"/>
        <v>251.53959999999998</v>
      </c>
    </row>
    <row r="32" spans="1:4" x14ac:dyDescent="0.3">
      <c r="A32" t="s">
        <v>37</v>
      </c>
      <c r="B32">
        <v>69</v>
      </c>
      <c r="C32">
        <f t="shared" si="0"/>
        <v>-48.14</v>
      </c>
      <c r="D32">
        <f t="shared" si="1"/>
        <v>2317.4596000000001</v>
      </c>
    </row>
    <row r="33" spans="1:4" x14ac:dyDescent="0.3">
      <c r="A33" t="s">
        <v>38</v>
      </c>
      <c r="B33">
        <v>106</v>
      </c>
      <c r="C33">
        <f t="shared" si="0"/>
        <v>-11.14</v>
      </c>
      <c r="D33">
        <f t="shared" si="1"/>
        <v>124.09960000000001</v>
      </c>
    </row>
    <row r="34" spans="1:4" x14ac:dyDescent="0.3">
      <c r="A34" t="s">
        <v>39</v>
      </c>
      <c r="B34">
        <v>129</v>
      </c>
      <c r="C34">
        <f t="shared" si="0"/>
        <v>11.86</v>
      </c>
      <c r="D34">
        <f t="shared" si="1"/>
        <v>140.65959999999998</v>
      </c>
    </row>
    <row r="35" spans="1:4" x14ac:dyDescent="0.3">
      <c r="A35" t="s">
        <v>40</v>
      </c>
      <c r="B35">
        <v>83</v>
      </c>
      <c r="C35">
        <f t="shared" si="0"/>
        <v>-34.14</v>
      </c>
      <c r="D35">
        <f t="shared" si="1"/>
        <v>1165.5396000000001</v>
      </c>
    </row>
    <row r="36" spans="1:4" x14ac:dyDescent="0.3">
      <c r="A36" t="s">
        <v>41</v>
      </c>
      <c r="B36">
        <v>112</v>
      </c>
      <c r="C36">
        <f t="shared" si="0"/>
        <v>-5.1400000000000006</v>
      </c>
      <c r="D36">
        <f t="shared" si="1"/>
        <v>26.419600000000006</v>
      </c>
    </row>
    <row r="37" spans="1:4" x14ac:dyDescent="0.3">
      <c r="A37" t="s">
        <v>42</v>
      </c>
      <c r="B37">
        <v>153</v>
      </c>
      <c r="C37">
        <f t="shared" si="0"/>
        <v>35.86</v>
      </c>
      <c r="D37">
        <f t="shared" si="1"/>
        <v>1285.9395999999999</v>
      </c>
    </row>
    <row r="38" spans="1:4" x14ac:dyDescent="0.3">
      <c r="A38" t="s">
        <v>43</v>
      </c>
      <c r="B38">
        <v>88</v>
      </c>
      <c r="C38">
        <f t="shared" si="0"/>
        <v>-29.14</v>
      </c>
      <c r="D38">
        <f t="shared" si="1"/>
        <v>849.13960000000009</v>
      </c>
    </row>
    <row r="39" spans="1:4" x14ac:dyDescent="0.3">
      <c r="A39" t="s">
        <v>44</v>
      </c>
      <c r="B39">
        <v>117</v>
      </c>
      <c r="C39">
        <f t="shared" si="0"/>
        <v>-0.14000000000000057</v>
      </c>
      <c r="D39">
        <f t="shared" si="1"/>
        <v>1.9600000000000159E-2</v>
      </c>
    </row>
    <row r="40" spans="1:4" x14ac:dyDescent="0.3">
      <c r="A40" t="s">
        <v>45</v>
      </c>
      <c r="B40">
        <v>143</v>
      </c>
      <c r="C40">
        <f t="shared" si="0"/>
        <v>25.86</v>
      </c>
      <c r="D40">
        <f t="shared" si="1"/>
        <v>668.7396</v>
      </c>
    </row>
    <row r="41" spans="1:4" x14ac:dyDescent="0.3">
      <c r="A41" t="s">
        <v>46</v>
      </c>
      <c r="B41">
        <v>67</v>
      </c>
      <c r="C41">
        <f t="shared" si="0"/>
        <v>-50.14</v>
      </c>
      <c r="D41">
        <f t="shared" si="1"/>
        <v>2514.0196000000001</v>
      </c>
    </row>
    <row r="42" spans="1:4" x14ac:dyDescent="0.3">
      <c r="A42" t="s">
        <v>47</v>
      </c>
      <c r="B42">
        <v>139</v>
      </c>
      <c r="C42">
        <f t="shared" si="0"/>
        <v>21.86</v>
      </c>
      <c r="D42">
        <f t="shared" si="1"/>
        <v>477.8596</v>
      </c>
    </row>
    <row r="43" spans="1:4" x14ac:dyDescent="0.3">
      <c r="A43" t="s">
        <v>48</v>
      </c>
      <c r="B43">
        <v>73</v>
      </c>
      <c r="C43">
        <f t="shared" si="0"/>
        <v>-44.14</v>
      </c>
      <c r="D43">
        <f t="shared" si="1"/>
        <v>1948.3396</v>
      </c>
    </row>
    <row r="44" spans="1:4" x14ac:dyDescent="0.3">
      <c r="A44" t="s">
        <v>49</v>
      </c>
      <c r="B44">
        <v>102</v>
      </c>
      <c r="C44">
        <f t="shared" si="0"/>
        <v>-15.14</v>
      </c>
      <c r="D44">
        <f t="shared" si="1"/>
        <v>229.21960000000001</v>
      </c>
    </row>
    <row r="45" spans="1:4" x14ac:dyDescent="0.3">
      <c r="A45" t="s">
        <v>50</v>
      </c>
      <c r="B45">
        <v>147</v>
      </c>
      <c r="C45">
        <f t="shared" si="0"/>
        <v>29.86</v>
      </c>
      <c r="D45">
        <f t="shared" si="1"/>
        <v>891.61959999999999</v>
      </c>
    </row>
    <row r="46" spans="1:4" x14ac:dyDescent="0.3">
      <c r="A46" t="s">
        <v>51</v>
      </c>
      <c r="B46">
        <v>182</v>
      </c>
      <c r="C46">
        <f t="shared" si="0"/>
        <v>64.86</v>
      </c>
      <c r="D46">
        <f t="shared" si="1"/>
        <v>4206.8195999999998</v>
      </c>
    </row>
    <row r="47" spans="1:4" x14ac:dyDescent="0.3">
      <c r="A47" t="s">
        <v>52</v>
      </c>
      <c r="B47">
        <v>71</v>
      </c>
      <c r="C47">
        <f t="shared" si="0"/>
        <v>-46.14</v>
      </c>
      <c r="D47">
        <f t="shared" si="1"/>
        <v>2128.8996000000002</v>
      </c>
    </row>
    <row r="48" spans="1:4" x14ac:dyDescent="0.3">
      <c r="A48" t="s">
        <v>53</v>
      </c>
      <c r="B48">
        <v>107</v>
      </c>
      <c r="C48">
        <f t="shared" si="0"/>
        <v>-10.14</v>
      </c>
      <c r="D48">
        <f t="shared" si="1"/>
        <v>102.81960000000001</v>
      </c>
    </row>
    <row r="49" spans="1:4" x14ac:dyDescent="0.3">
      <c r="A49" t="s">
        <v>54</v>
      </c>
      <c r="B49">
        <v>132</v>
      </c>
      <c r="C49">
        <f t="shared" si="0"/>
        <v>14.86</v>
      </c>
      <c r="D49">
        <f t="shared" si="1"/>
        <v>220.81959999999998</v>
      </c>
    </row>
    <row r="50" spans="1:4" x14ac:dyDescent="0.3">
      <c r="A50" t="s">
        <v>55</v>
      </c>
      <c r="B50">
        <v>93</v>
      </c>
      <c r="C50">
        <f t="shared" si="0"/>
        <v>-24.14</v>
      </c>
      <c r="D50">
        <f t="shared" si="1"/>
        <v>582.7396</v>
      </c>
    </row>
    <row r="51" spans="1:4" x14ac:dyDescent="0.3">
      <c r="A51" t="s">
        <v>56</v>
      </c>
      <c r="B51">
        <v>120</v>
      </c>
      <c r="C51">
        <f t="shared" si="0"/>
        <v>2.8599999999999994</v>
      </c>
      <c r="D51">
        <f t="shared" si="1"/>
        <v>8.1795999999999971</v>
      </c>
    </row>
    <row r="52" spans="1:4" x14ac:dyDescent="0.3">
      <c r="A52" t="s">
        <v>57</v>
      </c>
      <c r="B52">
        <v>200</v>
      </c>
      <c r="C52">
        <f t="shared" si="0"/>
        <v>82.86</v>
      </c>
      <c r="D52">
        <f t="shared" si="1"/>
        <v>6865.7795999999998</v>
      </c>
    </row>
    <row r="54" spans="1:4" x14ac:dyDescent="0.3">
      <c r="A54" t="s">
        <v>0</v>
      </c>
      <c r="B54">
        <f>AVERAGE(B3:B52)</f>
        <v>117.14</v>
      </c>
    </row>
    <row r="55" spans="1:4" x14ac:dyDescent="0.3">
      <c r="A55" t="s">
        <v>1</v>
      </c>
      <c r="B55">
        <f>COUNT(B3:B52)</f>
        <v>50</v>
      </c>
    </row>
    <row r="57" spans="1:4" x14ac:dyDescent="0.3">
      <c r="A57" t="s">
        <v>2</v>
      </c>
      <c r="B57">
        <f>SUM(D3:D52)/(B55-1)</f>
        <v>1295.6330612244897</v>
      </c>
    </row>
    <row r="58" spans="1:4" x14ac:dyDescent="0.3">
      <c r="A58" t="s">
        <v>3</v>
      </c>
      <c r="B58">
        <f>SQRT(B57)</f>
        <v>35.994903267330635</v>
      </c>
    </row>
    <row r="63" spans="1:4" x14ac:dyDescent="0.3">
      <c r="A63" t="s">
        <v>58</v>
      </c>
    </row>
    <row r="64" spans="1:4" x14ac:dyDescent="0.3">
      <c r="A64" t="s">
        <v>59</v>
      </c>
      <c r="B64">
        <f>MIN(B3:B52)</f>
        <v>63</v>
      </c>
    </row>
    <row r="65" spans="1:2" x14ac:dyDescent="0.3">
      <c r="A65" t="s">
        <v>60</v>
      </c>
      <c r="B65">
        <f>MAX(B3:B52)</f>
        <v>203</v>
      </c>
    </row>
    <row r="66" spans="1:2" x14ac:dyDescent="0.3">
      <c r="A66" t="s">
        <v>61</v>
      </c>
      <c r="B66">
        <f>MODE(B3:B52)</f>
        <v>97</v>
      </c>
    </row>
    <row r="67" spans="1:2" x14ac:dyDescent="0.3">
      <c r="A67" t="s">
        <v>62</v>
      </c>
      <c r="B67">
        <f>MEDIAN(B3:B52)</f>
        <v>112.5</v>
      </c>
    </row>
    <row r="68" spans="1:2" x14ac:dyDescent="0.3">
      <c r="A68" t="s">
        <v>0</v>
      </c>
      <c r="B68">
        <f>AVERAGE(B3:B52)</f>
        <v>117.14</v>
      </c>
    </row>
    <row r="69" spans="1:2" x14ac:dyDescent="0.3">
      <c r="A69" t="s">
        <v>63</v>
      </c>
      <c r="B69">
        <f>VAR(B3:B52)</f>
        <v>1295.6330612244901</v>
      </c>
    </row>
    <row r="70" spans="1:2" x14ac:dyDescent="0.3">
      <c r="A70" t="s">
        <v>64</v>
      </c>
      <c r="B70">
        <f>STDEV(B3:B52)</f>
        <v>35.994903267330642</v>
      </c>
    </row>
    <row r="71" spans="1:2" x14ac:dyDescent="0.3">
      <c r="A71" t="s">
        <v>65</v>
      </c>
      <c r="B71">
        <f>SKEW(B3:B52)</f>
        <v>0.54088932634628129</v>
      </c>
    </row>
    <row r="72" spans="1:2" x14ac:dyDescent="0.3">
      <c r="A72" t="s">
        <v>66</v>
      </c>
      <c r="B72">
        <f>KURT(B3:B52)</f>
        <v>-0.35051187646659754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Singhal</dc:creator>
  <cp:lastModifiedBy>Arnav Singhal</cp:lastModifiedBy>
  <dcterms:created xsi:type="dcterms:W3CDTF">2024-05-16T14:26:59Z</dcterms:created>
  <dcterms:modified xsi:type="dcterms:W3CDTF">2024-05-16T14:57:34Z</dcterms:modified>
</cp:coreProperties>
</file>